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defaultThemeVersion="124226"/>
  <mc:AlternateContent xmlns:mc="http://schemas.openxmlformats.org/markup-compatibility/2006">
    <mc:Choice Requires="x15">
      <x15ac:absPath xmlns:x15ac="http://schemas.microsoft.com/office/spreadsheetml/2010/11/ac" url="D:\TA\Assignments\Assignment2\Corrections\Marks\"/>
    </mc:Choice>
  </mc:AlternateContent>
  <xr:revisionPtr revIDLastSave="0" documentId="13_ncr:1_{FD521118-DA81-4107-935E-3ECF59895AA1}" xr6:coauthVersionLast="45" xr6:coauthVersionMax="45"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 i="1" l="1"/>
  <c r="C7" i="1"/>
  <c r="C29" i="1"/>
  <c r="D22" i="1"/>
  <c r="C22" i="1"/>
  <c r="C19" i="1"/>
  <c r="D19" i="1"/>
  <c r="D16" i="1"/>
  <c r="C16" i="1"/>
  <c r="D13" i="1"/>
  <c r="C13" i="1"/>
  <c r="C6" i="1" l="1"/>
  <c r="C33" i="1" s="1"/>
  <c r="D6" i="1" l="1"/>
  <c r="D33" i="1" s="1"/>
</calcChain>
</file>

<file path=xl/sharedStrings.xml><?xml version="1.0" encoding="utf-8"?>
<sst xmlns="http://schemas.openxmlformats.org/spreadsheetml/2006/main" count="40" uniqueCount="40">
  <si>
    <t>Mark</t>
  </si>
  <si>
    <t>Max</t>
  </si>
  <si>
    <t>Comments</t>
  </si>
  <si>
    <t>Total</t>
  </si>
  <si>
    <t>Tasks</t>
  </si>
  <si>
    <t>Student:</t>
  </si>
  <si>
    <t>Marked By:</t>
  </si>
  <si>
    <r>
      <t xml:space="preserve">Step 1.2: </t>
    </r>
    <r>
      <rPr>
        <sz val="11"/>
        <color theme="1"/>
        <rFont val="Calibri"/>
        <family val="2"/>
        <scheme val="minor"/>
      </rPr>
      <t>Remove Mentions and Hashtags</t>
    </r>
  </si>
  <si>
    <r>
      <t xml:space="preserve">Step 1.3: </t>
    </r>
    <r>
      <rPr>
        <sz val="11"/>
        <color theme="1"/>
        <rFont val="Calibri"/>
        <family val="2"/>
        <scheme val="minor"/>
      </rPr>
      <t>Remove any -, = or Space at the Start of a Tweet</t>
    </r>
  </si>
  <si>
    <r>
      <t xml:space="preserve">       </t>
    </r>
    <r>
      <rPr>
        <b/>
        <sz val="11"/>
        <color theme="1"/>
        <rFont val="Calibri"/>
        <family val="2"/>
        <scheme val="minor"/>
      </rPr>
      <t>Task 1:</t>
    </r>
    <r>
      <rPr>
        <sz val="11"/>
        <color theme="1"/>
        <rFont val="Calibri"/>
        <family val="2"/>
        <scheme val="minor"/>
      </rPr>
      <t xml:space="preserve"> Data Munging</t>
    </r>
  </si>
  <si>
    <r>
      <t xml:space="preserve">       </t>
    </r>
    <r>
      <rPr>
        <b/>
        <sz val="11"/>
        <color theme="1"/>
        <rFont val="Calibri"/>
        <family val="2"/>
        <scheme val="minor"/>
      </rPr>
      <t>Task 2:</t>
    </r>
    <r>
      <rPr>
        <sz val="11"/>
        <color theme="1"/>
        <rFont val="Calibri"/>
        <family val="2"/>
        <scheme val="minor"/>
      </rPr>
      <t xml:space="preserve"> Importing Data Into Excel</t>
    </r>
  </si>
  <si>
    <r>
      <t>Step 2.1:</t>
    </r>
    <r>
      <rPr>
        <sz val="11"/>
        <color theme="1"/>
        <rFont val="Calibri"/>
        <family val="2"/>
        <scheme val="minor"/>
      </rPr>
      <t xml:space="preserve"> Import the Data
- Formatting
- Headers
- Delete columns I and J</t>
    </r>
  </si>
  <si>
    <r>
      <t xml:space="preserve">Step 2.2: </t>
    </r>
    <r>
      <rPr>
        <sz val="11"/>
        <color theme="1"/>
        <rFont val="Calibri"/>
        <family val="2"/>
        <scheme val="minor"/>
      </rPr>
      <t>Sort and Remove Duplicates
- Sorted by tweet text (A-Z)
- Duplicates removed (using Data Toolbar)</t>
    </r>
  </si>
  <si>
    <r>
      <t xml:space="preserve">       </t>
    </r>
    <r>
      <rPr>
        <b/>
        <sz val="11"/>
        <color theme="1"/>
        <rFont val="Calibri"/>
        <family val="2"/>
        <scheme val="minor"/>
      </rPr>
      <t>Task 3:</t>
    </r>
    <r>
      <rPr>
        <sz val="11"/>
        <color theme="1"/>
        <rFont val="Calibri"/>
        <family val="2"/>
        <scheme val="minor"/>
      </rPr>
      <t xml:space="preserve"> Remove Duplicates</t>
    </r>
  </si>
  <si>
    <r>
      <t xml:space="preserve">Step 3.2: </t>
    </r>
    <r>
      <rPr>
        <sz val="11"/>
        <color theme="1"/>
        <rFont val="Calibri"/>
        <family val="2"/>
        <scheme val="minor"/>
      </rPr>
      <t>Use isDup to Remove Duplicates
- Call to isDup is correct
- Threshold is 0.7
- Data only is copied to processedData sheet
- Rows with TRUE in processedData deleted</t>
    </r>
  </si>
  <si>
    <r>
      <t xml:space="preserve">      </t>
    </r>
    <r>
      <rPr>
        <b/>
        <sz val="11"/>
        <color theme="1"/>
        <rFont val="Calibri"/>
        <family val="2"/>
        <scheme val="minor"/>
      </rPr>
      <t xml:space="preserve"> Task 4:</t>
    </r>
    <r>
      <rPr>
        <sz val="11"/>
        <color theme="1"/>
        <rFont val="Calibri"/>
        <family val="2"/>
        <scheme val="minor"/>
      </rPr>
      <t xml:space="preserve"> Calculate Sentiment</t>
    </r>
  </si>
  <si>
    <r>
      <t xml:space="preserve">      </t>
    </r>
    <r>
      <rPr>
        <b/>
        <sz val="11"/>
        <color theme="1"/>
        <rFont val="Calibri"/>
        <family val="2"/>
        <scheme val="minor"/>
      </rPr>
      <t xml:space="preserve"> Task 5:</t>
    </r>
    <r>
      <rPr>
        <sz val="11"/>
        <color theme="1"/>
        <rFont val="Calibri"/>
        <family val="2"/>
        <scheme val="minor"/>
      </rPr>
      <t xml:space="preserve"> Analysis</t>
    </r>
  </si>
  <si>
    <t>Formulas for Overall Sentiment</t>
  </si>
  <si>
    <t>Formulas for Verified Sentiment</t>
  </si>
  <si>
    <t>Formulas for Average Sentiment by User Language</t>
  </si>
  <si>
    <t>Formulas for Average Sentiment by Location</t>
  </si>
  <si>
    <t>Formatting
- Background color
- Borders
- Bold text
- Correct Text</t>
  </si>
  <si>
    <r>
      <t xml:space="preserve">Step 3.1: </t>
    </r>
    <r>
      <rPr>
        <sz val="11"/>
        <color theme="1"/>
        <rFont val="Calibri"/>
        <family val="2"/>
        <scheme val="minor"/>
      </rPr>
      <t>isDup Function
- Max mark of 8/20 if code does not compile/run
- 2 pts for comments (above function and inside)
- 18 pts for code
- Subtract 2 pts if threshold is hardcoded
- Subtract 2 pts if array size/bounds are hardcoded
- Subtract 2 pts if function header is different</t>
    </r>
  </si>
  <si>
    <r>
      <t xml:space="preserve">Step 4.1: </t>
    </r>
    <r>
      <rPr>
        <sz val="11"/>
        <color theme="1"/>
        <rFont val="Calibri"/>
        <family val="2"/>
        <scheme val="minor"/>
      </rPr>
      <t xml:space="preserve">sentimentCalc Function
- Max mark of 8/20 if code does not compile/run
- 2 pts for comments (above function and inside)
- 2 pts for replacing punctuation
- 16 pts for rest of code
- Subtract 2 pts if array size/bounds are hardcoded
- Subtract 2 pts if function header is different
- Subtract 2 pts if not using keywords from Keywords sheet
- Subtract 2 pts if string comparison is case-sensitive </t>
    </r>
  </si>
  <si>
    <r>
      <t xml:space="preserve">Step 4.2: </t>
    </r>
    <r>
      <rPr>
        <sz val="11"/>
        <color theme="1"/>
        <rFont val="Calibri"/>
        <family val="2"/>
        <scheme val="minor"/>
      </rPr>
      <t>sentimentCategory Function
- Max mark of 2 / 5 if code does not compile/run
- 1 pts for comments (above function and inside)
- 3 pts for code
- 1 pts for calling this function in column K
- Subtract 1 pts if function header is different</t>
    </r>
  </si>
  <si>
    <r>
      <t xml:space="preserve">Step 1.5: </t>
    </r>
    <r>
      <rPr>
        <sz val="11"/>
        <color theme="1"/>
        <rFont val="Calibri"/>
        <family val="2"/>
        <scheme val="minor"/>
      </rPr>
      <t>Anonymize the Screen Names</t>
    </r>
  </si>
  <si>
    <r>
      <t xml:space="preserve">Step 1.6: </t>
    </r>
    <r>
      <rPr>
        <sz val="11"/>
        <color theme="1"/>
        <rFont val="Calibri"/>
        <family val="2"/>
        <scheme val="minor"/>
      </rPr>
      <t>Remove the Data Value Names</t>
    </r>
  </si>
  <si>
    <r>
      <rPr>
        <b/>
        <sz val="11"/>
        <color theme="1"/>
        <rFont val="Calibri"/>
        <family val="2"/>
        <scheme val="minor"/>
      </rPr>
      <t>Step 1.4:</t>
    </r>
    <r>
      <rPr>
        <sz val="11"/>
        <color theme="1"/>
        <rFont val="Calibri"/>
        <family val="2"/>
        <scheme val="minor"/>
      </rPr>
      <t xml:space="preserve"> Remove Extra Spaces</t>
    </r>
  </si>
  <si>
    <t>Formulas for Over 3,000 Follower Sentiment</t>
  </si>
  <si>
    <t>Penalties</t>
  </si>
  <si>
    <t>Submitted through OWL incorrectly
- Penalty of up to -8 marks per file.</t>
  </si>
  <si>
    <t>File not using correct naming convention
- Penalty of up to -3 marks per file.</t>
  </si>
  <si>
    <t>Late submission</t>
  </si>
  <si>
    <t>Assignment 2 Grade Sheet</t>
  </si>
  <si>
    <t>Function is not commented.</t>
  </si>
  <si>
    <t>Formula for isDup column is also copied to processedData sheet. Only data has to be copied.</t>
  </si>
  <si>
    <t>Incorrect regular expression. Extra spaces are not removed from the tweets.</t>
  </si>
  <si>
    <t>Incorrect regular expression. Your pattern should not accidentally remove colons or words from the tweet’s text which is allowed to contain any number of colons.
Your regex removed words followed by colons from tweet text as well. Check the processed tweets in rows 595-601,2079.</t>
  </si>
  <si>
    <t>Ben Morgenstern (bmorgens)</t>
  </si>
  <si>
    <t>Vishwa, vkodiyal@uwo.ca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</si>
</sst>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i/>
      <sz val="11"/>
      <color theme="1"/>
      <name val="Calibri"/>
      <family val="2"/>
      <scheme val="minor"/>
    </font>
    <font>
      <b/>
      <i/>
      <sz val="14"/>
      <color theme="1"/>
      <name val="Calibri"/>
      <family val="2"/>
      <scheme val="minor"/>
    </font>
    <font>
      <sz val="11"/>
      <color rgb="FF006100"/>
      <name val="Calibri"/>
      <family val="2"/>
      <scheme val="minor"/>
    </font>
    <font>
      <b/>
      <sz val="16"/>
      <color theme="1"/>
      <name val="Calibri"/>
      <family val="2"/>
      <scheme val="minor"/>
    </font>
    <font>
      <b/>
      <sz val="11"/>
      <name val="Calibri"/>
      <family val="2"/>
      <scheme val="minor"/>
    </font>
    <font>
      <sz val="11"/>
      <name val="Calibri"/>
      <family val="2"/>
      <scheme val="minor"/>
    </font>
  </fonts>
  <fills count="4">
    <fill>
      <patternFill patternType="none"/>
    </fill>
    <fill>
      <patternFill patternType="gray125"/>
    </fill>
    <fill>
      <patternFill patternType="solid">
        <fgColor rgb="FFC6EFCE"/>
      </patternFill>
    </fill>
    <fill>
      <patternFill patternType="solid">
        <fgColor rgb="FFFFFFCC"/>
        <bgColor indexed="64"/>
      </patternFill>
    </fill>
  </fills>
  <borders count="17">
    <border>
      <left/>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auto="1"/>
      </left>
      <right style="medium">
        <color indexed="64"/>
      </right>
      <top/>
      <bottom/>
      <diagonal/>
    </border>
    <border>
      <left style="medium">
        <color auto="1"/>
      </left>
      <right style="medium">
        <color indexed="64"/>
      </right>
      <top style="medium">
        <color auto="1"/>
      </top>
      <bottom style="medium">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auto="1"/>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2">
    <xf numFmtId="0" fontId="0" fillId="0" borderId="0"/>
    <xf numFmtId="0" fontId="5" fillId="2" borderId="0" applyNumberFormat="0" applyBorder="0" applyAlignment="0" applyProtection="0"/>
  </cellStyleXfs>
  <cellXfs count="51">
    <xf numFmtId="0" fontId="0" fillId="0" borderId="0" xfId="0"/>
    <xf numFmtId="0" fontId="0" fillId="0" borderId="0" xfId="0" applyBorder="1"/>
    <xf numFmtId="0" fontId="0" fillId="0" borderId="1" xfId="0" applyBorder="1"/>
    <xf numFmtId="0" fontId="3" fillId="0" borderId="3" xfId="0" applyFont="1" applyBorder="1"/>
    <xf numFmtId="0" fontId="3" fillId="0" borderId="7" xfId="0" applyFont="1" applyBorder="1"/>
    <xf numFmtId="0" fontId="2" fillId="0" borderId="0" xfId="0" applyFont="1" applyBorder="1"/>
    <xf numFmtId="0" fontId="0" fillId="0" borderId="2" xfId="0" applyBorder="1"/>
    <xf numFmtId="0" fontId="2" fillId="0" borderId="2" xfId="0" applyFont="1" applyBorder="1"/>
    <xf numFmtId="0" fontId="5" fillId="2" borderId="4" xfId="1" applyBorder="1" applyAlignment="1">
      <alignment vertical="top"/>
    </xf>
    <xf numFmtId="0" fontId="1" fillId="0" borderId="8" xfId="0" applyFont="1" applyBorder="1" applyAlignment="1">
      <alignment horizontal="center"/>
    </xf>
    <xf numFmtId="0" fontId="5" fillId="2" borderId="4" xfId="1" applyBorder="1" applyAlignment="1">
      <alignment vertical="top" wrapText="1"/>
    </xf>
    <xf numFmtId="0" fontId="5" fillId="2" borderId="6" xfId="1" applyBorder="1" applyAlignment="1">
      <alignment vertical="top"/>
    </xf>
    <xf numFmtId="0" fontId="4" fillId="0" borderId="9" xfId="0" applyFont="1" applyBorder="1"/>
    <xf numFmtId="0" fontId="0" fillId="0" borderId="10" xfId="0" applyBorder="1"/>
    <xf numFmtId="0" fontId="1" fillId="0" borderId="0" xfId="0" applyFont="1" applyBorder="1"/>
    <xf numFmtId="0" fontId="1" fillId="0" borderId="2" xfId="0" applyFont="1" applyBorder="1"/>
    <xf numFmtId="0" fontId="7" fillId="2" borderId="5" xfId="1" applyFont="1" applyBorder="1"/>
    <xf numFmtId="0" fontId="1" fillId="0" borderId="8" xfId="0" applyFont="1" applyBorder="1"/>
    <xf numFmtId="0" fontId="0" fillId="3" borderId="12" xfId="0" applyFill="1" applyBorder="1" applyAlignment="1">
      <alignment vertical="top"/>
    </xf>
    <xf numFmtId="49" fontId="1" fillId="3" borderId="13" xfId="0" applyNumberFormat="1" applyFont="1" applyFill="1" applyBorder="1" applyAlignment="1">
      <alignment vertical="top" wrapText="1"/>
    </xf>
    <xf numFmtId="0" fontId="0" fillId="3" borderId="14" xfId="0" applyFill="1" applyBorder="1" applyAlignment="1">
      <alignment vertical="top"/>
    </xf>
    <xf numFmtId="0" fontId="1" fillId="3" borderId="14" xfId="0" applyFont="1" applyFill="1" applyBorder="1" applyAlignment="1">
      <alignment vertical="top"/>
    </xf>
    <xf numFmtId="0" fontId="0" fillId="3" borderId="14" xfId="0" applyFill="1" applyBorder="1" applyAlignment="1">
      <alignment horizontal="left" vertical="top" wrapText="1"/>
    </xf>
    <xf numFmtId="0" fontId="0" fillId="0" borderId="12" xfId="0" applyBorder="1" applyAlignment="1">
      <alignment horizontal="left" vertical="top"/>
    </xf>
    <xf numFmtId="49" fontId="1" fillId="0" borderId="13" xfId="0" applyNumberFormat="1" applyFont="1" applyBorder="1" applyAlignment="1">
      <alignment vertical="top" wrapText="1"/>
    </xf>
    <xf numFmtId="0" fontId="0" fillId="0" borderId="14" xfId="0" applyBorder="1" applyAlignment="1">
      <alignment vertical="top"/>
    </xf>
    <xf numFmtId="0" fontId="1" fillId="0" borderId="14" xfId="0" applyFont="1" applyBorder="1" applyAlignment="1">
      <alignment vertical="top"/>
    </xf>
    <xf numFmtId="0" fontId="0" fillId="0" borderId="14" xfId="0" applyBorder="1" applyAlignment="1">
      <alignment horizontal="left" vertical="top" wrapText="1"/>
    </xf>
    <xf numFmtId="0" fontId="0" fillId="0" borderId="12" xfId="0" applyBorder="1" applyAlignment="1">
      <alignment vertical="top"/>
    </xf>
    <xf numFmtId="0" fontId="1" fillId="0" borderId="13" xfId="0" applyFont="1" applyBorder="1" applyAlignment="1">
      <alignment vertical="top" wrapText="1"/>
    </xf>
    <xf numFmtId="0" fontId="0" fillId="0" borderId="13" xfId="0" applyBorder="1"/>
    <xf numFmtId="0" fontId="0" fillId="3" borderId="13" xfId="0" applyFill="1" applyBorder="1" applyAlignment="1">
      <alignment vertical="top" wrapText="1"/>
    </xf>
    <xf numFmtId="0" fontId="0" fillId="3" borderId="12" xfId="0" applyFill="1" applyBorder="1"/>
    <xf numFmtId="0" fontId="0" fillId="0" borderId="12" xfId="0" applyBorder="1"/>
    <xf numFmtId="0" fontId="0" fillId="3" borderId="12" xfId="0" applyFill="1" applyBorder="1" applyAlignment="1">
      <alignment horizontal="left"/>
    </xf>
    <xf numFmtId="0" fontId="0" fillId="3" borderId="13" xfId="0" applyFill="1" applyBorder="1" applyAlignment="1">
      <alignment vertical="top"/>
    </xf>
    <xf numFmtId="0" fontId="0" fillId="0" borderId="13" xfId="0" applyBorder="1" applyAlignment="1">
      <alignment vertical="top"/>
    </xf>
    <xf numFmtId="0" fontId="0" fillId="0" borderId="13" xfId="0" applyBorder="1" applyAlignment="1">
      <alignment vertical="top" wrapText="1"/>
    </xf>
    <xf numFmtId="0" fontId="7" fillId="2" borderId="12" xfId="1" applyFont="1" applyBorder="1"/>
    <xf numFmtId="0" fontId="5" fillId="2" borderId="13" xfId="1" applyBorder="1" applyAlignment="1">
      <alignment vertical="top"/>
    </xf>
    <xf numFmtId="0" fontId="5" fillId="2" borderId="14" xfId="1" applyBorder="1" applyAlignment="1">
      <alignment vertical="top"/>
    </xf>
    <xf numFmtId="0" fontId="5" fillId="2" borderId="14" xfId="1" applyBorder="1" applyAlignment="1">
      <alignment horizontal="left" vertical="top" wrapText="1"/>
    </xf>
    <xf numFmtId="0" fontId="0" fillId="0" borderId="14" xfId="0" applyBorder="1" applyAlignment="1">
      <alignment horizontal="left" wrapText="1"/>
    </xf>
    <xf numFmtId="0" fontId="0" fillId="0" borderId="15" xfId="0" applyBorder="1"/>
    <xf numFmtId="0" fontId="0" fillId="0" borderId="16" xfId="0" applyBorder="1" applyAlignment="1">
      <alignment vertical="top" wrapText="1"/>
    </xf>
    <xf numFmtId="0" fontId="0" fillId="0" borderId="11" xfId="0" applyBorder="1" applyAlignment="1">
      <alignment vertical="top"/>
    </xf>
    <xf numFmtId="0" fontId="1" fillId="0" borderId="11" xfId="0" applyFont="1" applyBorder="1" applyAlignment="1">
      <alignment vertical="top"/>
    </xf>
    <xf numFmtId="0" fontId="0" fillId="0" borderId="11" xfId="0" applyBorder="1" applyAlignment="1">
      <alignment horizontal="left" wrapText="1"/>
    </xf>
    <xf numFmtId="0" fontId="6" fillId="0" borderId="0" xfId="0" applyFont="1" applyBorder="1" applyAlignment="1">
      <alignment horizontal="center"/>
    </xf>
    <xf numFmtId="0" fontId="8" fillId="0" borderId="0" xfId="0" applyFont="1"/>
    <xf numFmtId="0" fontId="1" fillId="0" borderId="13" xfId="0" applyFont="1" applyBorder="1" applyAlignment="1">
      <alignment vertical="top"/>
    </xf>
  </cellXfs>
  <cellStyles count="2">
    <cellStyle name="Good" xfId="1" builtinId="26"/>
    <cellStyle name="Normal" xfId="0" builtinId="0"/>
  </cellStyles>
  <dxfs count="0"/>
  <tableStyles count="0" defaultTableStyle="TableStyleMedium2" defaultPivotStyle="PivotStyleLight16"/>
  <colors>
    <mruColors>
      <color rgb="FFC6EFC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33"/>
  <sheetViews>
    <sheetView tabSelected="1" topLeftCell="A11" workbookViewId="0">
      <selection activeCell="E18" sqref="E18"/>
    </sheetView>
  </sheetViews>
  <sheetFormatPr defaultRowHeight="14.4" x14ac:dyDescent="0.3"/>
  <cols>
    <col min="1" max="1" width="10.5546875" customWidth="1"/>
    <col min="2" max="2" width="57.5546875" customWidth="1"/>
    <col min="3" max="3" width="6.88671875" customWidth="1"/>
    <col min="4" max="4" width="7" customWidth="1"/>
    <col min="5" max="5" width="62.88671875" customWidth="1"/>
    <col min="7" max="7" width="12.44140625" customWidth="1"/>
    <col min="9" max="9" width="14.109375" customWidth="1"/>
    <col min="10" max="11" width="12.6640625" customWidth="1"/>
  </cols>
  <sheetData>
    <row r="1" spans="1:5" ht="21" x14ac:dyDescent="0.4">
      <c r="A1" s="48" t="s">
        <v>33</v>
      </c>
      <c r="B1" s="48"/>
      <c r="C1" s="48"/>
      <c r="D1" s="48"/>
      <c r="E1" s="48"/>
    </row>
    <row r="2" spans="1:5" ht="15.6" x14ac:dyDescent="0.3">
      <c r="A2" s="1"/>
      <c r="B2" s="5"/>
      <c r="C2" s="5"/>
      <c r="D2" s="5"/>
      <c r="E2" s="1"/>
    </row>
    <row r="3" spans="1:5" ht="15.6" x14ac:dyDescent="0.3">
      <c r="A3" s="14" t="s">
        <v>5</v>
      </c>
      <c r="B3" s="49" t="s">
        <v>38</v>
      </c>
      <c r="C3" s="5"/>
      <c r="D3" s="5"/>
      <c r="E3" s="1"/>
    </row>
    <row r="4" spans="1:5" ht="16.2" thickBot="1" x14ac:dyDescent="0.35">
      <c r="A4" s="15" t="s">
        <v>6</v>
      </c>
      <c r="B4" s="6" t="s">
        <v>39</v>
      </c>
      <c r="C4" s="7"/>
      <c r="D4" s="7"/>
      <c r="E4" s="6"/>
    </row>
    <row r="5" spans="1:5" ht="15" thickBot="1" x14ac:dyDescent="0.35">
      <c r="A5" s="2"/>
      <c r="B5" s="1"/>
      <c r="C5" s="3" t="s">
        <v>0</v>
      </c>
      <c r="D5" s="4" t="s">
        <v>1</v>
      </c>
      <c r="E5" s="9" t="s">
        <v>2</v>
      </c>
    </row>
    <row r="6" spans="1:5" x14ac:dyDescent="0.3">
      <c r="A6" s="16" t="s">
        <v>4</v>
      </c>
      <c r="B6" s="11"/>
      <c r="C6" s="8">
        <f>C7+C13+C16+C19+C22</f>
        <v>92</v>
      </c>
      <c r="D6" s="8">
        <f>D7+D13+D16+D19+D22</f>
        <v>100</v>
      </c>
      <c r="E6" s="10"/>
    </row>
    <row r="7" spans="1:5" x14ac:dyDescent="0.3">
      <c r="A7" s="18" t="s">
        <v>9</v>
      </c>
      <c r="B7" s="19"/>
      <c r="C7" s="20">
        <f>SUM(C8:C12)</f>
        <v>22</v>
      </c>
      <c r="D7" s="21">
        <f>SUM(D8:D12)</f>
        <v>27</v>
      </c>
      <c r="E7" s="22"/>
    </row>
    <row r="8" spans="1:5" x14ac:dyDescent="0.3">
      <c r="A8" s="23"/>
      <c r="B8" s="24" t="s">
        <v>7</v>
      </c>
      <c r="C8" s="25">
        <v>5</v>
      </c>
      <c r="D8" s="26">
        <v>5</v>
      </c>
      <c r="E8" s="27"/>
    </row>
    <row r="9" spans="1:5" x14ac:dyDescent="0.3">
      <c r="A9" s="28"/>
      <c r="B9" s="29" t="s">
        <v>8</v>
      </c>
      <c r="C9" s="25">
        <v>5</v>
      </c>
      <c r="D9" s="26">
        <v>5</v>
      </c>
      <c r="E9" s="27"/>
    </row>
    <row r="10" spans="1:5" ht="28.8" x14ac:dyDescent="0.3">
      <c r="A10" s="28"/>
      <c r="B10" s="30" t="s">
        <v>27</v>
      </c>
      <c r="C10" s="25">
        <v>1</v>
      </c>
      <c r="D10" s="50">
        <v>3</v>
      </c>
      <c r="E10" s="27" t="s">
        <v>36</v>
      </c>
    </row>
    <row r="11" spans="1:5" x14ac:dyDescent="0.3">
      <c r="A11" s="28"/>
      <c r="B11" s="29" t="s">
        <v>25</v>
      </c>
      <c r="C11" s="25">
        <v>8</v>
      </c>
      <c r="D11" s="26">
        <v>8</v>
      </c>
      <c r="E11" s="27"/>
    </row>
    <row r="12" spans="1:5" ht="72" x14ac:dyDescent="0.3">
      <c r="A12" s="28"/>
      <c r="B12" s="29" t="s">
        <v>26</v>
      </c>
      <c r="C12" s="25">
        <v>3</v>
      </c>
      <c r="D12" s="26">
        <v>6</v>
      </c>
      <c r="E12" s="27" t="s">
        <v>37</v>
      </c>
    </row>
    <row r="13" spans="1:5" x14ac:dyDescent="0.3">
      <c r="A13" s="18" t="s">
        <v>10</v>
      </c>
      <c r="B13" s="31"/>
      <c r="C13" s="20">
        <f>SUM(C14:C15)</f>
        <v>7</v>
      </c>
      <c r="D13" s="21">
        <f>SUM(D14:D15)</f>
        <v>7</v>
      </c>
      <c r="E13" s="22"/>
    </row>
    <row r="14" spans="1:5" ht="57.6" x14ac:dyDescent="0.3">
      <c r="A14" s="28"/>
      <c r="B14" s="29" t="s">
        <v>11</v>
      </c>
      <c r="C14" s="25">
        <v>2</v>
      </c>
      <c r="D14" s="26">
        <v>2</v>
      </c>
      <c r="E14" s="27"/>
    </row>
    <row r="15" spans="1:5" ht="43.2" x14ac:dyDescent="0.3">
      <c r="A15" s="28"/>
      <c r="B15" s="29" t="s">
        <v>12</v>
      </c>
      <c r="C15" s="25">
        <v>5</v>
      </c>
      <c r="D15" s="26">
        <v>5</v>
      </c>
      <c r="E15" s="27"/>
    </row>
    <row r="16" spans="1:5" x14ac:dyDescent="0.3">
      <c r="A16" s="32" t="s">
        <v>13</v>
      </c>
      <c r="B16" s="31"/>
      <c r="C16" s="20">
        <f>SUM(C17:C18)</f>
        <v>23</v>
      </c>
      <c r="D16" s="21">
        <f>SUM(D17:D18)</f>
        <v>25</v>
      </c>
      <c r="E16" s="22"/>
    </row>
    <row r="17" spans="1:5" ht="100.8" x14ac:dyDescent="0.3">
      <c r="A17" s="33"/>
      <c r="B17" s="29" t="s">
        <v>22</v>
      </c>
      <c r="C17" s="25">
        <v>20</v>
      </c>
      <c r="D17" s="26">
        <v>20</v>
      </c>
      <c r="E17" s="27"/>
    </row>
    <row r="18" spans="1:5" ht="72" x14ac:dyDescent="0.3">
      <c r="A18" s="33"/>
      <c r="B18" s="29" t="s">
        <v>14</v>
      </c>
      <c r="C18" s="25">
        <v>3</v>
      </c>
      <c r="D18" s="26">
        <v>5</v>
      </c>
      <c r="E18" s="27" t="s">
        <v>35</v>
      </c>
    </row>
    <row r="19" spans="1:5" x14ac:dyDescent="0.3">
      <c r="A19" s="34" t="s">
        <v>15</v>
      </c>
      <c r="B19" s="35"/>
      <c r="C19" s="20">
        <f>SUM(C20:C21)</f>
        <v>24</v>
      </c>
      <c r="D19" s="21">
        <f>SUM(D20:D21)</f>
        <v>25</v>
      </c>
      <c r="E19" s="22"/>
    </row>
    <row r="20" spans="1:5" ht="129.6" x14ac:dyDescent="0.3">
      <c r="A20" s="33"/>
      <c r="B20" s="29" t="s">
        <v>23</v>
      </c>
      <c r="C20" s="25">
        <v>20</v>
      </c>
      <c r="D20" s="26">
        <v>20</v>
      </c>
      <c r="E20" s="27"/>
    </row>
    <row r="21" spans="1:5" ht="86.4" x14ac:dyDescent="0.3">
      <c r="A21" s="33"/>
      <c r="B21" s="29" t="s">
        <v>24</v>
      </c>
      <c r="C21" s="25">
        <v>4</v>
      </c>
      <c r="D21" s="26">
        <v>5</v>
      </c>
      <c r="E21" s="27" t="s">
        <v>34</v>
      </c>
    </row>
    <row r="22" spans="1:5" x14ac:dyDescent="0.3">
      <c r="A22" s="34" t="s">
        <v>16</v>
      </c>
      <c r="B22" s="35"/>
      <c r="C22" s="20">
        <f>SUM(C23:C28)</f>
        <v>16</v>
      </c>
      <c r="D22" s="21">
        <f>SUM(D23:D28)</f>
        <v>16</v>
      </c>
      <c r="E22" s="22"/>
    </row>
    <row r="23" spans="1:5" x14ac:dyDescent="0.3">
      <c r="A23" s="33"/>
      <c r="B23" s="36" t="s">
        <v>17</v>
      </c>
      <c r="C23" s="25">
        <v>3</v>
      </c>
      <c r="D23" s="26">
        <v>3</v>
      </c>
      <c r="E23" s="27"/>
    </row>
    <row r="24" spans="1:5" x14ac:dyDescent="0.3">
      <c r="A24" s="33"/>
      <c r="B24" s="36" t="s">
        <v>18</v>
      </c>
      <c r="C24" s="25">
        <v>3</v>
      </c>
      <c r="D24" s="26">
        <v>3</v>
      </c>
      <c r="E24" s="27"/>
    </row>
    <row r="25" spans="1:5" x14ac:dyDescent="0.3">
      <c r="A25" s="33"/>
      <c r="B25" s="36" t="s">
        <v>28</v>
      </c>
      <c r="C25" s="25">
        <v>3</v>
      </c>
      <c r="D25" s="26">
        <v>3</v>
      </c>
      <c r="E25" s="27"/>
    </row>
    <row r="26" spans="1:5" x14ac:dyDescent="0.3">
      <c r="A26" s="33"/>
      <c r="B26" s="36" t="s">
        <v>19</v>
      </c>
      <c r="C26" s="25">
        <v>2</v>
      </c>
      <c r="D26" s="26">
        <v>2</v>
      </c>
      <c r="E26" s="27"/>
    </row>
    <row r="27" spans="1:5" x14ac:dyDescent="0.3">
      <c r="A27" s="33"/>
      <c r="B27" s="36" t="s">
        <v>20</v>
      </c>
      <c r="C27" s="25">
        <v>2</v>
      </c>
      <c r="D27" s="26">
        <v>2</v>
      </c>
      <c r="E27" s="27"/>
    </row>
    <row r="28" spans="1:5" ht="72" x14ac:dyDescent="0.3">
      <c r="A28" s="33"/>
      <c r="B28" s="37" t="s">
        <v>21</v>
      </c>
      <c r="C28" s="25">
        <v>3</v>
      </c>
      <c r="D28" s="26">
        <v>3</v>
      </c>
      <c r="E28" s="27"/>
    </row>
    <row r="29" spans="1:5" x14ac:dyDescent="0.3">
      <c r="A29" s="38" t="s">
        <v>29</v>
      </c>
      <c r="B29" s="39"/>
      <c r="C29" s="40">
        <f>SUM(C30:C32)</f>
        <v>0</v>
      </c>
      <c r="D29" s="40"/>
      <c r="E29" s="41"/>
    </row>
    <row r="30" spans="1:5" ht="28.8" x14ac:dyDescent="0.3">
      <c r="A30" s="33"/>
      <c r="B30" s="37" t="s">
        <v>30</v>
      </c>
      <c r="C30" s="25">
        <v>0</v>
      </c>
      <c r="D30" s="26">
        <v>24</v>
      </c>
      <c r="E30" s="42"/>
    </row>
    <row r="31" spans="1:5" ht="28.8" x14ac:dyDescent="0.3">
      <c r="A31" s="33"/>
      <c r="B31" s="37" t="s">
        <v>31</v>
      </c>
      <c r="C31" s="25">
        <v>0</v>
      </c>
      <c r="D31" s="26">
        <v>9</v>
      </c>
      <c r="E31" s="42"/>
    </row>
    <row r="32" spans="1:5" ht="15" thickBot="1" x14ac:dyDescent="0.35">
      <c r="A32" s="43"/>
      <c r="B32" s="44" t="s">
        <v>32</v>
      </c>
      <c r="C32" s="45">
        <v>0</v>
      </c>
      <c r="D32" s="46">
        <v>100</v>
      </c>
      <c r="E32" s="47"/>
    </row>
    <row r="33" spans="1:4" ht="18.600000000000001" thickBot="1" x14ac:dyDescent="0.4">
      <c r="A33" s="12" t="s">
        <v>3</v>
      </c>
      <c r="B33" s="13"/>
      <c r="C33" s="17">
        <f>IF(ROUNDUP(C6-C29,1)&lt;0,0,ROUNDUP(C6-C29,1))</f>
        <v>92</v>
      </c>
      <c r="D33" s="17">
        <f>D6</f>
        <v>100</v>
      </c>
    </row>
  </sheetData>
  <mergeCells count="1">
    <mergeCell ref="A1:E1"/>
  </mergeCells>
  <pageMargins left="0.7" right="0.7" top="0.75" bottom="0.75" header="0.3" footer="0.3"/>
  <pageSetup scale="6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Oola</dc:creator>
  <cp:lastModifiedBy>vishwa sai</cp:lastModifiedBy>
  <cp:lastPrinted>2019-03-15T17:15:02Z</cp:lastPrinted>
  <dcterms:created xsi:type="dcterms:W3CDTF">2015-11-01T19:28:04Z</dcterms:created>
  <dcterms:modified xsi:type="dcterms:W3CDTF">2020-04-17T16:01:47Z</dcterms:modified>
</cp:coreProperties>
</file>